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0xrafiabu/Downloads/"/>
    </mc:Choice>
  </mc:AlternateContent>
  <xr:revisionPtr revIDLastSave="0" documentId="13_ncr:1_{57CC19EB-321E-8E4C-B62C-336A78FEDCBF}" xr6:coauthVersionLast="47" xr6:coauthVersionMax="47" xr10:uidLastSave="{00000000-0000-0000-0000-000000000000}"/>
  <bookViews>
    <workbookView xWindow="0" yWindow="0" windowWidth="28800" windowHeight="18000" activeTab="2" xr2:uid="{00000000-000D-0000-FFFF-FFFF00000000}"/>
  </bookViews>
  <sheets>
    <sheet name="bike_buyers" sheetId="1" state="hidden" r:id="rId1"/>
    <sheet name="Dashboard" sheetId="2" r:id="rId2"/>
    <sheet name="Pivot Table" sheetId="5"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<sst xmlns="http://schemas.openxmlformats.org/spreadsheetml/2006/main" count="16267" uniqueCount="51">
  <si>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</si>
  <si>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</si>
  <si>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</si>
  <si>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</si>
  <si>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</si>
  <si>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</si>
  <si>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</si>
  <si>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</si>
  <si>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</si>
  <si>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</si>
  <si>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</si>
  <si>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</si>
  <si>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</si>
  <si>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</si>
  <si>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</si>
  <si>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</si>
  <si>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</si>
  <si>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</si>
  <si>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</si>
  <si>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</si>
  <si>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</si>
  <si>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</si>
  <si>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</si>
  <si>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</si>
  <si>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</si>
  <si>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</si>
  <si>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</si>
  <si>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</si>
  <si>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</si>
  <si>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</si>
  <si>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</si>
  <si>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</si>
  <si>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</si>
  <si>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</si>
  <si>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</si>
  <si>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</si>
  <si>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</si>
  <si>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</si>
  <si>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</si>
  <si>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</si>
  <si>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</si>
  <si>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</si>
  <si>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</si>
  <si>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</si>
  <si>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</si>
  <si>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</si>
  <si>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10 Miles +</t>
  </si>
  <si>
    <t>Adolescent</t>
  </si>
  <si>
    <t>Middle Age</t>
  </si>
  <si>
    <t>Old</t>
  </si>
  <si>
    <t>Customer Demographics and Bike Purchase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</si>
</sst>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9B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_(* \(#,##0\);_(* &quot;-&quot;??_);_(@_)"/>
    </dxf>
    <dxf>
      <numFmt numFmtId="166" formatCode="_(* #,##0_);_(* \(#,##0\);_(* &quot;-&quot;??_);_(@_)"/>
    </dxf>
  </dxfs>
  <tableStyles count="0" defaultTableStyle="TableStyleMedium2" defaultPivotStyle="PivotStyleLight16"/>
  <colors>
    <mruColors>
      <color rgb="FF4F89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a:t>Average Income by Gender and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5">
                <a:tint val="77000"/>
              </a:schemeClr>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932C-3242-A730-EE503C9417E0}"/>
            </c:ext>
          </c:extLst>
        </c:ser>
        <c:ser>
          <c:idx val="1"/>
          <c:order val="1"/>
          <c:tx>
            <c:strRef>
              <c:f>'Pivot Table'!$C$1:$C$2</c:f>
              <c:strCache>
                <c:ptCount val="1"/>
                <c:pt idx="0">
                  <c:v>Yes</c:v>
                </c:pt>
              </c:strCache>
            </c:strRef>
          </c:tx>
          <c:spPr>
            <a:solidFill>
              <a:schemeClr val="accent5">
                <a:shade val="76000"/>
              </a:schemeClr>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32C-3242-A730-EE503C9417E0}"/>
            </c:ext>
          </c:extLst>
        </c:ser>
        <c:dLbls>
          <c:showLegendKey val="0"/>
          <c:showVal val="0"/>
          <c:showCatName val="0"/>
          <c:showSerName val="0"/>
          <c:showPercent val="0"/>
          <c:showBubbleSize val="0"/>
        </c:dLbls>
        <c:gapWidth val="219"/>
        <c:overlap val="-27"/>
        <c:axId val="343370624"/>
        <c:axId val="343372336"/>
      </c:barChart>
      <c:catAx>
        <c:axId val="34337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72336"/>
        <c:crosses val="autoZero"/>
        <c:auto val="1"/>
        <c:lblAlgn val="ctr"/>
        <c:lblOffset val="100"/>
        <c:noMultiLvlLbl val="0"/>
      </c:catAx>
      <c:valAx>
        <c:axId val="34337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7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Does Commute Distance Influence Bike Purchase? </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5">
                  <a:tint val="77000"/>
                </a:schemeClr>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32-5C4D-9C45-420C5206DB9D}"/>
            </c:ext>
          </c:extLst>
        </c:ser>
        <c:ser>
          <c:idx val="1"/>
          <c:order val="1"/>
          <c:tx>
            <c:strRef>
              <c:f>'Pivot Table'!$C$15:$C$16</c:f>
              <c:strCache>
                <c:ptCount val="1"/>
                <c:pt idx="0">
                  <c:v>Yes</c:v>
                </c:pt>
              </c:strCache>
            </c:strRef>
          </c:tx>
          <c:spPr>
            <a:ln w="28575" cap="rnd">
              <a:solidFill>
                <a:schemeClr val="accent5">
                  <a:shade val="76000"/>
                </a:schemeClr>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32-5C4D-9C45-420C5206DB9D}"/>
            </c:ext>
          </c:extLst>
        </c:ser>
        <c:dLbls>
          <c:showLegendKey val="0"/>
          <c:showVal val="0"/>
          <c:showCatName val="0"/>
          <c:showSerName val="0"/>
          <c:showPercent val="0"/>
          <c:showBubbleSize val="0"/>
        </c:dLbls>
        <c:smooth val="0"/>
        <c:axId val="1744120112"/>
        <c:axId val="1598439232"/>
      </c:lineChart>
      <c:catAx>
        <c:axId val="174412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39232"/>
        <c:crosses val="autoZero"/>
        <c:auto val="1"/>
        <c:lblAlgn val="ctr"/>
        <c:lblOffset val="100"/>
        <c:noMultiLvlLbl val="0"/>
      </c:catAx>
      <c:valAx>
        <c:axId val="159843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12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a:t>Which Age Group Purchases Bikes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tint val="65000"/>
            </a:schemeClr>
          </a:solidFill>
          <a:ln>
            <a:noFill/>
          </a:ln>
          <a:effectLst/>
        </c:spPr>
      </c:pivotFmt>
      <c:pivotFmt>
        <c:idx val="4"/>
        <c:spPr>
          <a:solidFill>
            <a:schemeClr val="accent5"/>
          </a:solidFill>
          <a:ln>
            <a:noFill/>
          </a:ln>
          <a:effectLst/>
        </c:spPr>
      </c:pivotFmt>
      <c:pivotFmt>
        <c:idx val="5"/>
        <c:spPr>
          <a:solidFill>
            <a:schemeClr val="accent5">
              <a:shade val="65000"/>
            </a:schemeClr>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tint val="65000"/>
            </a:schemeClr>
          </a:solidFill>
          <a:ln>
            <a:noFill/>
          </a:ln>
          <a:effectLst/>
        </c:spPr>
      </c:pivotFmt>
      <c:pivotFmt>
        <c:idx val="8"/>
        <c:spPr>
          <a:solidFill>
            <a:schemeClr val="accent5"/>
          </a:solidFill>
          <a:ln>
            <a:noFill/>
          </a:ln>
          <a:effectLst/>
        </c:spPr>
      </c:pivotFmt>
      <c:pivotFmt>
        <c:idx val="9"/>
        <c:spPr>
          <a:solidFill>
            <a:schemeClr val="accent5">
              <a:shade val="65000"/>
            </a:schemeClr>
          </a:solidFill>
          <a:ln>
            <a:noFill/>
          </a:ln>
          <a:effectLst/>
        </c:spPr>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tint val="65000"/>
            </a:schemeClr>
          </a:solidFill>
          <a:ln>
            <a:noFill/>
          </a:ln>
          <a:effectLst/>
        </c:spPr>
      </c:pivotFmt>
      <c:pivotFmt>
        <c:idx val="12"/>
        <c:spPr>
          <a:solidFill>
            <a:schemeClr val="accent5"/>
          </a:solidFill>
          <a:ln>
            <a:noFill/>
          </a:ln>
          <a:effectLst/>
        </c:spPr>
      </c:pivotFmt>
      <c:pivotFmt>
        <c:idx val="13"/>
        <c:spPr>
          <a:solidFill>
            <a:schemeClr val="accent5">
              <a:shade val="65000"/>
            </a:schemeClr>
          </a:solidFill>
          <a:ln>
            <a:noFill/>
          </a:ln>
          <a:effectLst/>
        </c:spPr>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tint val="65000"/>
            </a:schemeClr>
          </a:solidFill>
          <a:ln>
            <a:noFill/>
          </a:ln>
          <a:effectLst/>
        </c:spPr>
      </c:pivotFmt>
      <c:pivotFmt>
        <c:idx val="16"/>
        <c:spPr>
          <a:solidFill>
            <a:schemeClr val="accent5"/>
          </a:solidFill>
          <a:ln>
            <a:noFill/>
          </a:ln>
          <a:effectLst/>
        </c:spPr>
      </c:pivotFmt>
      <c:pivotFmt>
        <c:idx val="17"/>
        <c:spPr>
          <a:solidFill>
            <a:schemeClr val="accent5">
              <a:shade val="65000"/>
            </a:schemeClr>
          </a:solidFill>
          <a:ln>
            <a:noFill/>
          </a:ln>
          <a:effectLst/>
        </c:spPr>
      </c:pivotFmt>
    </c:pivotFmts>
    <c:plotArea>
      <c:layout/>
      <c:pieChart>
        <c:varyColors val="1"/>
        <c:ser>
          <c:idx val="0"/>
          <c:order val="0"/>
          <c:tx>
            <c:strRef>
              <c:f>'Pivot Table'!$B$29:$B$30</c:f>
              <c:strCache>
                <c:ptCount val="1"/>
                <c:pt idx="0">
                  <c:v>No</c:v>
                </c:pt>
              </c:strCache>
            </c:strRef>
          </c:tx>
          <c:dPt>
            <c:idx val="0"/>
            <c:bubble3D val="0"/>
            <c:spPr>
              <a:solidFill>
                <a:schemeClr val="accent5">
                  <a:tint val="65000"/>
                </a:schemeClr>
              </a:solidFill>
              <a:ln>
                <a:noFill/>
              </a:ln>
              <a:effectLst/>
            </c:spPr>
            <c:extLst>
              <c:ext xmlns:c16="http://schemas.microsoft.com/office/drawing/2014/chart" uri="{C3380CC4-5D6E-409C-BE32-E72D297353CC}">
                <c16:uniqueId val="{00000001-A318-3B4B-8010-112DFBAB2A35}"/>
              </c:ext>
            </c:extLst>
          </c:dPt>
          <c:dPt>
            <c:idx val="1"/>
            <c:bubble3D val="0"/>
            <c:spPr>
              <a:solidFill>
                <a:schemeClr val="accent5"/>
              </a:solidFill>
              <a:ln>
                <a:noFill/>
              </a:ln>
              <a:effectLst/>
            </c:spPr>
            <c:extLst>
              <c:ext xmlns:c16="http://schemas.microsoft.com/office/drawing/2014/chart" uri="{C3380CC4-5D6E-409C-BE32-E72D297353CC}">
                <c16:uniqueId val="{00000003-A318-3B4B-8010-112DFBAB2A35}"/>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5-A318-3B4B-8010-112DFBAB2A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Adolescent</c:v>
                </c:pt>
                <c:pt idx="1">
                  <c:v>Middle Age</c:v>
                </c:pt>
                <c:pt idx="2">
                  <c:v>Old</c:v>
                </c:pt>
              </c:strCache>
            </c:strRef>
          </c:cat>
          <c:val>
            <c:numRef>
              <c:f>'Pivot Table'!$B$31:$B$34</c:f>
              <c:numCache>
                <c:formatCode>General</c:formatCode>
                <c:ptCount val="3"/>
                <c:pt idx="0">
                  <c:v>71</c:v>
                </c:pt>
                <c:pt idx="1">
                  <c:v>318</c:v>
                </c:pt>
                <c:pt idx="2">
                  <c:v>130</c:v>
                </c:pt>
              </c:numCache>
            </c:numRef>
          </c:val>
          <c:extLst>
            <c:ext xmlns:c16="http://schemas.microsoft.com/office/drawing/2014/chart" uri="{C3380CC4-5D6E-409C-BE32-E72D297353CC}">
              <c16:uniqueId val="{00000006-A318-3B4B-8010-112DFBAB2A35}"/>
            </c:ext>
          </c:extLst>
        </c:ser>
        <c:ser>
          <c:idx val="1"/>
          <c:order val="1"/>
          <c:tx>
            <c:strRef>
              <c:f>'Pivot Table'!$C$29:$C$30</c:f>
              <c:strCache>
                <c:ptCount val="1"/>
                <c:pt idx="0">
                  <c:v>Yes</c:v>
                </c:pt>
              </c:strCache>
            </c:strRef>
          </c:tx>
          <c:dPt>
            <c:idx val="0"/>
            <c:bubble3D val="0"/>
            <c:spPr>
              <a:solidFill>
                <a:schemeClr val="accent5">
                  <a:tint val="65000"/>
                </a:schemeClr>
              </a:solidFill>
              <a:ln>
                <a:noFill/>
              </a:ln>
              <a:effectLst/>
            </c:spPr>
            <c:extLst>
              <c:ext xmlns:c16="http://schemas.microsoft.com/office/drawing/2014/chart" uri="{C3380CC4-5D6E-409C-BE32-E72D297353CC}">
                <c16:uniqueId val="{00000008-A318-3B4B-8010-112DFBAB2A35}"/>
              </c:ext>
            </c:extLst>
          </c:dPt>
          <c:dPt>
            <c:idx val="1"/>
            <c:bubble3D val="0"/>
            <c:spPr>
              <a:solidFill>
                <a:schemeClr val="accent5"/>
              </a:solidFill>
              <a:ln>
                <a:noFill/>
              </a:ln>
              <a:effectLst/>
            </c:spPr>
            <c:extLst>
              <c:ext xmlns:c16="http://schemas.microsoft.com/office/drawing/2014/chart" uri="{C3380CC4-5D6E-409C-BE32-E72D297353CC}">
                <c16:uniqueId val="{0000000A-A318-3B4B-8010-112DFBAB2A35}"/>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C-A318-3B4B-8010-112DFBAB2A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Adolescent</c:v>
                </c:pt>
                <c:pt idx="1">
                  <c:v>Middle Age</c:v>
                </c:pt>
                <c:pt idx="2">
                  <c:v>Old</c:v>
                </c:pt>
              </c:strCache>
            </c:strRef>
          </c:cat>
          <c:val>
            <c:numRef>
              <c:f>'Pivot Table'!$C$31:$C$34</c:f>
              <c:numCache>
                <c:formatCode>General</c:formatCode>
                <c:ptCount val="3"/>
                <c:pt idx="0">
                  <c:v>39</c:v>
                </c:pt>
                <c:pt idx="1">
                  <c:v>383</c:v>
                </c:pt>
                <c:pt idx="2">
                  <c:v>59</c:v>
                </c:pt>
              </c:numCache>
            </c:numRef>
          </c:val>
          <c:extLst>
            <c:ext xmlns:c16="http://schemas.microsoft.com/office/drawing/2014/chart" uri="{C3380CC4-5D6E-409C-BE32-E72D297353CC}">
              <c16:uniqueId val="{0000000D-A318-3B4B-8010-112DFBAB2A35}"/>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a:t>
            </a:r>
            <a:r>
              <a:rPr lang="en-GB" baseline="0"/>
              <a:t> of bike purchase based on income</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5">
                <a:tint val="77000"/>
              </a:schemeClr>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B46-9448-9EEE-C6ADEA6694BD}"/>
            </c:ext>
          </c:extLst>
        </c:ser>
        <c:ser>
          <c:idx val="1"/>
          <c:order val="1"/>
          <c:tx>
            <c:strRef>
              <c:f>'Pivot Table'!$C$1:$C$2</c:f>
              <c:strCache>
                <c:ptCount val="1"/>
                <c:pt idx="0">
                  <c:v>Yes</c:v>
                </c:pt>
              </c:strCache>
            </c:strRef>
          </c:tx>
          <c:spPr>
            <a:solidFill>
              <a:schemeClr val="accent5">
                <a:shade val="76000"/>
              </a:schemeClr>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B46-9448-9EEE-C6ADEA6694BD}"/>
            </c:ext>
          </c:extLst>
        </c:ser>
        <c:dLbls>
          <c:showLegendKey val="0"/>
          <c:showVal val="0"/>
          <c:showCatName val="0"/>
          <c:showSerName val="0"/>
          <c:showPercent val="0"/>
          <c:showBubbleSize val="0"/>
        </c:dLbls>
        <c:gapWidth val="219"/>
        <c:overlap val="-27"/>
        <c:axId val="343370624"/>
        <c:axId val="343372336"/>
      </c:barChart>
      <c:catAx>
        <c:axId val="34337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72336"/>
        <c:crosses val="autoZero"/>
        <c:auto val="1"/>
        <c:lblAlgn val="ctr"/>
        <c:lblOffset val="100"/>
        <c:noMultiLvlLbl val="0"/>
      </c:catAx>
      <c:valAx>
        <c:axId val="34337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370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Does</a:t>
            </a:r>
            <a:r>
              <a:rPr lang="en-GB" baseline="0"/>
              <a:t> commute distance influence customer to purchase a bike?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5">
                  <a:tint val="77000"/>
                </a:schemeClr>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8B-4940-9795-7E2543B5C90C}"/>
            </c:ext>
          </c:extLst>
        </c:ser>
        <c:ser>
          <c:idx val="1"/>
          <c:order val="1"/>
          <c:tx>
            <c:strRef>
              <c:f>'Pivot Table'!$C$15:$C$16</c:f>
              <c:strCache>
                <c:ptCount val="1"/>
                <c:pt idx="0">
                  <c:v>Yes</c:v>
                </c:pt>
              </c:strCache>
            </c:strRef>
          </c:tx>
          <c:spPr>
            <a:ln w="28575" cap="rnd">
              <a:solidFill>
                <a:schemeClr val="accent5">
                  <a:shade val="76000"/>
                </a:schemeClr>
              </a:solidFill>
              <a:round/>
            </a:ln>
            <a:effectLst/>
          </c:spPr>
          <c:marker>
            <c:symbol val="none"/>
          </c:marker>
          <c:cat>
            <c:strRef>
              <c:f>'Pivot Table'!$A$17:$A$22</c:f>
              <c:strCache>
                <c:ptCount val="5"/>
                <c:pt idx="0">
                  <c:v>0-1 Miles</c:v>
                </c:pt>
                <c:pt idx="1">
                  <c:v>1-2 Miles</c:v>
                </c:pt>
                <c:pt idx="2">
                  <c:v>2-5 Miles</c:v>
                </c:pt>
                <c:pt idx="3">
                  <c:v>5-10 Miles</c:v>
                </c:pt>
                <c:pt idx="4">
                  <c:v>10 Miles +</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8B-4940-9795-7E2543B5C90C}"/>
            </c:ext>
          </c:extLst>
        </c:ser>
        <c:dLbls>
          <c:showLegendKey val="0"/>
          <c:showVal val="0"/>
          <c:showCatName val="0"/>
          <c:showSerName val="0"/>
          <c:showPercent val="0"/>
          <c:showBubbleSize val="0"/>
        </c:dLbls>
        <c:smooth val="0"/>
        <c:axId val="1744120112"/>
        <c:axId val="1598439232"/>
      </c:lineChart>
      <c:catAx>
        <c:axId val="174412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39232"/>
        <c:crosses val="autoZero"/>
        <c:auto val="1"/>
        <c:lblAlgn val="ctr"/>
        <c:lblOffset val="100"/>
        <c:noMultiLvlLbl val="0"/>
      </c:catAx>
      <c:valAx>
        <c:axId val="159843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12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Demographics and Bike Purchase Behaviour.xlsx]Pivot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Which group</a:t>
            </a:r>
            <a:r>
              <a:rPr lang="en-GB" baseline="0"/>
              <a:t> of age buy bike most?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c:spPr>
      </c:pivotFmt>
      <c:pivotFmt>
        <c:idx val="3"/>
        <c:spPr>
          <a:solidFill>
            <a:schemeClr val="accent5"/>
          </a:solidFill>
          <a:ln>
            <a:noFill/>
          </a:ln>
          <a:effectLst/>
        </c:spPr>
      </c:pivotFmt>
      <c:pivotFmt>
        <c:idx val="4"/>
        <c:spPr>
          <a:solidFill>
            <a:schemeClr val="accent5">
              <a:shade val="65000"/>
            </a:schemeClr>
          </a:solidFill>
          <a:ln>
            <a:noFill/>
          </a:ln>
          <a:effectLst/>
        </c:spPr>
      </c:pivotFmt>
      <c:pivotFmt>
        <c:idx val="5"/>
        <c:spPr>
          <a:solidFill>
            <a:schemeClr val="accent5">
              <a:tint val="65000"/>
            </a:schemeClr>
          </a:solidFill>
          <a:ln>
            <a:noFill/>
          </a:ln>
          <a:effectLst/>
        </c:spPr>
      </c:pivotFmt>
      <c:pivotFmt>
        <c:idx val="6"/>
        <c:spPr>
          <a:solidFill>
            <a:schemeClr val="accent5"/>
          </a:solidFill>
          <a:ln>
            <a:noFill/>
          </a:ln>
          <a:effectLst/>
        </c:spPr>
      </c:pivotFmt>
      <c:pivotFmt>
        <c:idx val="7"/>
        <c:spPr>
          <a:solidFill>
            <a:schemeClr val="accent5">
              <a:shade val="65000"/>
            </a:schemeClr>
          </a:solidFill>
          <a:ln>
            <a:noFill/>
          </a:ln>
          <a:effectLst/>
        </c:spPr>
      </c:pivotFmt>
    </c:pivotFmts>
    <c:plotArea>
      <c:layout/>
      <c:pieChart>
        <c:varyColors val="1"/>
        <c:ser>
          <c:idx val="0"/>
          <c:order val="0"/>
          <c:tx>
            <c:strRef>
              <c:f>'Pivot Table'!$B$29:$B$30</c:f>
              <c:strCache>
                <c:ptCount val="1"/>
                <c:pt idx="0">
                  <c:v>No</c:v>
                </c:pt>
              </c:strCache>
            </c:strRef>
          </c:tx>
          <c:dPt>
            <c:idx val="0"/>
            <c:bubble3D val="0"/>
            <c:spPr>
              <a:solidFill>
                <a:schemeClr val="accent5">
                  <a:tint val="65000"/>
                </a:schemeClr>
              </a:solidFill>
              <a:ln>
                <a:noFill/>
              </a:ln>
              <a:effectLst/>
            </c:spPr>
            <c:extLst>
              <c:ext xmlns:c16="http://schemas.microsoft.com/office/drawing/2014/chart" uri="{C3380CC4-5D6E-409C-BE32-E72D297353CC}">
                <c16:uniqueId val="{00000001-6787-F847-A49F-5823FDC01023}"/>
              </c:ext>
            </c:extLst>
          </c:dPt>
          <c:dPt>
            <c:idx val="1"/>
            <c:bubble3D val="0"/>
            <c:spPr>
              <a:solidFill>
                <a:schemeClr val="accent5"/>
              </a:solidFill>
              <a:ln>
                <a:noFill/>
              </a:ln>
              <a:effectLst/>
            </c:spPr>
            <c:extLst>
              <c:ext xmlns:c16="http://schemas.microsoft.com/office/drawing/2014/chart" uri="{C3380CC4-5D6E-409C-BE32-E72D297353CC}">
                <c16:uniqueId val="{00000003-6787-F847-A49F-5823FDC01023}"/>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5-6787-F847-A49F-5823FDC01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Adolescent</c:v>
                </c:pt>
                <c:pt idx="1">
                  <c:v>Middle Age</c:v>
                </c:pt>
                <c:pt idx="2">
                  <c:v>Old</c:v>
                </c:pt>
              </c:strCache>
            </c:strRef>
          </c:cat>
          <c:val>
            <c:numRef>
              <c:f>'Pivot Table'!$B$31:$B$34</c:f>
              <c:numCache>
                <c:formatCode>General</c:formatCode>
                <c:ptCount val="3"/>
                <c:pt idx="0">
                  <c:v>71</c:v>
                </c:pt>
                <c:pt idx="1">
                  <c:v>318</c:v>
                </c:pt>
                <c:pt idx="2">
                  <c:v>130</c:v>
                </c:pt>
              </c:numCache>
            </c:numRef>
          </c:val>
          <c:extLst>
            <c:ext xmlns:c16="http://schemas.microsoft.com/office/drawing/2014/chart" uri="{C3380CC4-5D6E-409C-BE32-E72D297353CC}">
              <c16:uniqueId val="{00000000-FB2E-204B-B231-EDD8C023782D}"/>
            </c:ext>
          </c:extLst>
        </c:ser>
        <c:ser>
          <c:idx val="1"/>
          <c:order val="1"/>
          <c:tx>
            <c:strRef>
              <c:f>'Pivot Table'!$C$29:$C$30</c:f>
              <c:strCache>
                <c:ptCount val="1"/>
                <c:pt idx="0">
                  <c:v>Yes</c:v>
                </c:pt>
              </c:strCache>
            </c:strRef>
          </c:tx>
          <c:dPt>
            <c:idx val="0"/>
            <c:bubble3D val="0"/>
            <c:spPr>
              <a:solidFill>
                <a:schemeClr val="accent5">
                  <a:tint val="65000"/>
                </a:schemeClr>
              </a:solidFill>
              <a:ln>
                <a:noFill/>
              </a:ln>
              <a:effectLst/>
            </c:spPr>
            <c:extLst>
              <c:ext xmlns:c16="http://schemas.microsoft.com/office/drawing/2014/chart" uri="{C3380CC4-5D6E-409C-BE32-E72D297353CC}">
                <c16:uniqueId val="{00000007-6787-F847-A49F-5823FDC01023}"/>
              </c:ext>
            </c:extLst>
          </c:dPt>
          <c:dPt>
            <c:idx val="1"/>
            <c:bubble3D val="0"/>
            <c:spPr>
              <a:solidFill>
                <a:schemeClr val="accent5"/>
              </a:solidFill>
              <a:ln>
                <a:noFill/>
              </a:ln>
              <a:effectLst/>
            </c:spPr>
            <c:extLst>
              <c:ext xmlns:c16="http://schemas.microsoft.com/office/drawing/2014/chart" uri="{C3380CC4-5D6E-409C-BE32-E72D297353CC}">
                <c16:uniqueId val="{00000009-6787-F847-A49F-5823FDC01023}"/>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B-6787-F847-A49F-5823FDC01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Adolescent</c:v>
                </c:pt>
                <c:pt idx="1">
                  <c:v>Middle Age</c:v>
                </c:pt>
                <c:pt idx="2">
                  <c:v>Old</c:v>
                </c:pt>
              </c:strCache>
            </c:strRef>
          </c:cat>
          <c:val>
            <c:numRef>
              <c:f>'Pivot Table'!$C$31:$C$34</c:f>
              <c:numCache>
                <c:formatCode>General</c:formatCode>
                <c:ptCount val="3"/>
                <c:pt idx="0">
                  <c:v>39</c:v>
                </c:pt>
                <c:pt idx="1">
                  <c:v>383</c:v>
                </c:pt>
                <c:pt idx="2">
                  <c:v>59</c:v>
                </c:pt>
              </c:numCache>
            </c:numRef>
          </c:val>
          <c:extLst>
            <c:ext xmlns:c16="http://schemas.microsoft.com/office/drawing/2014/chart" uri="{C3380CC4-5D6E-409C-BE32-E72D297353CC}">
              <c16:uniqueId val="{00000001-FB2E-204B-B231-EDD8C023782D}"/>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742163</xdr:colOff>
      <xdr:row>6</xdr:row>
      <xdr:rowOff>9900</xdr:rowOff>
    </xdr:from>
    <xdr:to>
      <xdr:col>9</xdr:col>
      <xdr:colOff>368301</xdr:colOff>
      <xdr:row>20</xdr:row>
      <xdr:rowOff>92075</xdr:rowOff>
    </xdr:to>
    <xdr:graphicFrame macro="">
      <xdr:nvGraphicFramePr>
        <xdr:cNvPr id="2" name="Chart 1">
          <a:extLst>
            <a:ext uri="{FF2B5EF4-FFF2-40B4-BE49-F238E27FC236}">
              <a16:creationId xmlns:a16="http://schemas.microsoft.com/office/drawing/2014/main" id="{E4308C66-FC5F-F146-ACFD-E15B15906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744043</xdr:colOff>
      <xdr:row>20</xdr:row>
      <xdr:rowOff>99772</xdr:rowOff>
    </xdr:from>
    <xdr:to>
      <xdr:col>15</xdr:col>
      <xdr:colOff>5746</xdr:colOff>
      <xdr:row>37</xdr:row>
      <xdr:rowOff>57285</xdr:rowOff>
    </xdr:to>
    <xdr:graphicFrame macro="">
      <xdr:nvGraphicFramePr>
        <xdr:cNvPr id="3" name="Chart 2">
          <a:extLst>
            <a:ext uri="{FF2B5EF4-FFF2-40B4-BE49-F238E27FC236}">
              <a16:creationId xmlns:a16="http://schemas.microsoft.com/office/drawing/2014/main" id="{8CF80D97-B2A9-AD49-A5BE-8F6B5F1B6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358775</xdr:colOff>
      <xdr:row>6</xdr:row>
      <xdr:rowOff>9732</xdr:rowOff>
    </xdr:from>
    <xdr:to>
      <xdr:col>15</xdr:col>
      <xdr:colOff>6350</xdr:colOff>
      <xdr:row>20</xdr:row>
      <xdr:rowOff>95250</xdr:rowOff>
    </xdr:to>
    <xdr:graphicFrame macro="">
      <xdr:nvGraphicFramePr>
        <xdr:cNvPr id="4" name="Chart 3">
          <a:extLst>
            <a:ext uri="{FF2B5EF4-FFF2-40B4-BE49-F238E27FC236}">
              <a16:creationId xmlns:a16="http://schemas.microsoft.com/office/drawing/2014/main" id="{4B28D1C8-ED35-B949-A6B1-3469C3586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4568</xdr:colOff>
      <xdr:row>6</xdr:row>
      <xdr:rowOff>7128</xdr:rowOff>
    </xdr:from>
    <xdr:to>
      <xdr:col>3</xdr:col>
      <xdr:colOff>736088</xdr:colOff>
      <xdr:row>12</xdr:row>
      <xdr:rowOff>32528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887E86F-AA5A-678E-0014-B8D0999CBD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68" y="1145749"/>
              <a:ext cx="3227727" cy="1164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144249</xdr:rowOff>
    </xdr:from>
    <xdr:to>
      <xdr:col>3</xdr:col>
      <xdr:colOff>746713</xdr:colOff>
      <xdr:row>17</xdr:row>
      <xdr:rowOff>177800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0DB1F356-0DEF-ABE9-B64A-DFA6C0A205B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2421490"/>
              <a:ext cx="3242920" cy="982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127001</xdr:rowOff>
    </xdr:from>
    <xdr:to>
      <xdr:col>3</xdr:col>
      <xdr:colOff>737823</xdr:colOff>
      <xdr:row>27</xdr:row>
      <xdr:rowOff>129357</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F240AB72-9475-B90F-88B8-B062F316F0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42863"/>
              <a:ext cx="3234030" cy="1710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4417</xdr:colOff>
      <xdr:row>0</xdr:row>
      <xdr:rowOff>1</xdr:rowOff>
    </xdr:from>
    <xdr:to>
      <xdr:col>9</xdr:col>
      <xdr:colOff>350112</xdr:colOff>
      <xdr:row>14</xdr:row>
      <xdr:rowOff>5101</xdr:rowOff>
    </xdr:to>
    <xdr:graphicFrame macro="">
      <xdr:nvGraphicFramePr>
        <xdr:cNvPr id="3" name="Chart 2">
          <a:extLst>
            <a:ext uri="{FF2B5EF4-FFF2-40B4-BE49-F238E27FC236}">
              <a16:creationId xmlns:a16="http://schemas.microsoft.com/office/drawing/2014/main" id="{65A5D4A9-96DA-F74B-86F1-AEC309147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4417</xdr:colOff>
      <xdr:row>14</xdr:row>
      <xdr:rowOff>9397</xdr:rowOff>
    </xdr:from>
    <xdr:to>
      <xdr:col>9</xdr:col>
      <xdr:colOff>350112</xdr:colOff>
      <xdr:row>28</xdr:row>
      <xdr:rowOff>0</xdr:rowOff>
    </xdr:to>
    <xdr:graphicFrame macro="">
      <xdr:nvGraphicFramePr>
        <xdr:cNvPr id="4" name="Chart 3">
          <a:extLst>
            <a:ext uri="{FF2B5EF4-FFF2-40B4-BE49-F238E27FC236}">
              <a16:creationId xmlns:a16="http://schemas.microsoft.com/office/drawing/2014/main" id="{F2FED8F1-E99F-64B7-5C82-A1B51DCF7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4417</xdr:colOff>
      <xdr:row>28</xdr:row>
      <xdr:rowOff>9621</xdr:rowOff>
    </xdr:from>
    <xdr:to>
      <xdr:col>9</xdr:col>
      <xdr:colOff>350112</xdr:colOff>
      <xdr:row>42</xdr:row>
      <xdr:rowOff>67637</xdr:rowOff>
    </xdr:to>
    <xdr:graphicFrame macro="">
      <xdr:nvGraphicFramePr>
        <xdr:cNvPr id="6" name="Chart 5">
          <a:extLst>
            <a:ext uri="{FF2B5EF4-FFF2-40B4-BE49-F238E27FC236}">
              <a16:creationId xmlns:a16="http://schemas.microsoft.com/office/drawing/2014/main" id="{4E6AF00D-6A07-FA3C-3914-E944A1B0A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i Abu" refreshedDate="46176.599451851849" createdVersion="8" refreshedVersion="8" minRefreshableVersion="3" recordCount="1000" xr:uid="{5E9037D7-3865-AB44-A48E-180EED15720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180726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95F758-C80F-8E4E-8079-20581129FB18}"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1">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1CB7B-0161-314A-82AD-8C6C2A1BE2B3}"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D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1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0"/>
          </reference>
        </references>
      </pivotArea>
    </chartFormat>
    <chartFormat chart="7" format="11">
      <pivotArea type="data" outline="0" fieldPosition="0">
        <references count="3">
          <reference field="4294967294" count="1" selected="0">
            <x v="0"/>
          </reference>
          <reference field="12" count="1" selected="0">
            <x v="0"/>
          </reference>
          <reference field="13" count="1" selected="0">
            <x v="0"/>
          </reference>
        </references>
      </pivotArea>
    </chartFormat>
    <chartFormat chart="7" format="12">
      <pivotArea type="data" outline="0" fieldPosition="0">
        <references count="3">
          <reference field="4294967294" count="1" selected="0">
            <x v="0"/>
          </reference>
          <reference field="12" count="1" selected="0">
            <x v="2"/>
          </reference>
          <reference field="13" count="1" selected="0">
            <x v="0"/>
          </reference>
        </references>
      </pivotArea>
    </chartFormat>
    <chartFormat chart="7" format="13">
      <pivotArea type="data" outline="0" fieldPosition="0">
        <references count="3">
          <reference field="4294967294" count="1" selected="0">
            <x v="0"/>
          </reference>
          <reference field="12" count="1" selected="0">
            <x v="3"/>
          </reference>
          <reference field="13" count="1" selected="0">
            <x v="0"/>
          </reference>
        </references>
      </pivotArea>
    </chartFormat>
    <chartFormat chart="7" format="14" series="1">
      <pivotArea type="data" outline="0" fieldPosition="0">
        <references count="2">
          <reference field="4294967294" count="1" selected="0">
            <x v="0"/>
          </reference>
          <reference field="13" count="1" selected="0">
            <x v="1"/>
          </reference>
        </references>
      </pivotArea>
    </chartFormat>
    <chartFormat chart="7" format="15">
      <pivotArea type="data" outline="0" fieldPosition="0">
        <references count="3">
          <reference field="4294967294" count="1" selected="0">
            <x v="0"/>
          </reference>
          <reference field="12" count="1" selected="0">
            <x v="0"/>
          </reference>
          <reference field="13" count="1" selected="0">
            <x v="1"/>
          </reference>
        </references>
      </pivotArea>
    </chartFormat>
    <chartFormat chart="7" format="16">
      <pivotArea type="data" outline="0" fieldPosition="0">
        <references count="3">
          <reference field="4294967294" count="1" selected="0">
            <x v="0"/>
          </reference>
          <reference field="12" count="1" selected="0">
            <x v="2"/>
          </reference>
          <reference field="13" count="1" selected="0">
            <x v="1"/>
          </reference>
        </references>
      </pivotArea>
    </chartFormat>
    <chartFormat chart="7" format="17">
      <pivotArea type="data" outline="0" fieldPosition="0">
        <references count="3">
          <reference field="4294967294" count="1" selected="0">
            <x v="0"/>
          </reference>
          <reference field="12" count="1" selected="0">
            <x v="3"/>
          </reference>
          <reference field="13" count="1" selected="0">
            <x v="1"/>
          </reference>
        </references>
      </pivotArea>
    </chartFormat>
    <chartFormat chart="1" format="2">
      <pivotArea type="data" outline="0" fieldPosition="0">
        <references count="3">
          <reference field="4294967294" count="1" selected="0">
            <x v="0"/>
          </reference>
          <reference field="12"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2"/>
          </reference>
          <reference field="13" count="1" selected="0">
            <x v="0"/>
          </reference>
        </references>
      </pivotArea>
    </chartFormat>
    <chartFormat chart="1" format="4">
      <pivotArea type="data" outline="0" fieldPosition="0">
        <references count="3">
          <reference field="4294967294" count="1" selected="0">
            <x v="0"/>
          </reference>
          <reference field="12" count="1" selected="0">
            <x v="3"/>
          </reference>
          <reference field="13" count="1" selected="0">
            <x v="0"/>
          </reference>
        </references>
      </pivotArea>
    </chartFormat>
    <chartFormat chart="1" format="5">
      <pivotArea type="data" outline="0" fieldPosition="0">
        <references count="3">
          <reference field="4294967294" count="1" selected="0">
            <x v="0"/>
          </reference>
          <reference field="12" count="1" selected="0">
            <x v="0"/>
          </reference>
          <reference field="13" count="1" selected="0">
            <x v="1"/>
          </reference>
        </references>
      </pivotArea>
    </chartFormat>
    <chartFormat chart="1" format="6">
      <pivotArea type="data" outline="0" fieldPosition="0">
        <references count="3">
          <reference field="4294967294" count="1" selected="0">
            <x v="0"/>
          </reference>
          <reference field="12" count="1" selected="0">
            <x v="2"/>
          </reference>
          <reference field="13" count="1" selected="0">
            <x v="1"/>
          </reference>
        </references>
      </pivotArea>
    </chartFormat>
    <chartFormat chart="1" format="7">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44586-8CB3-9846-823B-4FBCC9CC1ED0}"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B01974-7605-154A-BC64-4838BB6E5407}" sourceName="Region">
  <pivotTables>
    <pivotTable tabId="5" name="PivotTable1"/>
    <pivotTable tabId="5" name="PivotTable2"/>
    <pivotTable tabId="5" name="PivotTable3"/>
  </pivotTables>
  <data>
    <tabular pivotCacheId="118072694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06F5E1A-5BF1-5B4C-A5B7-D7FFB8465137}" sourceName="Marital Status">
  <pivotTables>
    <pivotTable tabId="5" name="PivotTable1"/>
    <pivotTable tabId="5" name="PivotTable2"/>
    <pivotTable tabId="5" name="PivotTable3"/>
  </pivotTables>
  <data>
    <tabular pivotCacheId="118072694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B3769B-2213-B041-9564-E152741969DE}" sourceName="Education">
  <pivotTables>
    <pivotTable tabId="5" name="PivotTable1"/>
    <pivotTable tabId="5" name="PivotTable2"/>
    <pivotTable tabId="5" name="PivotTable3"/>
  </pivotTables>
  <data>
    <tabular pivotCacheId="118072694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EDAE87-A21F-B14C-B087-E0A92A14DCE3}" cache="Slicer_Region" caption="Region" rowHeight="230716"/>
  <slicer name="Marital Status" xr10:uid="{A8151545-055F-C04F-BC46-0CCA5EFEE0E5}" cache="Slicer_Marital_Status" caption="Marital Status" rowHeight="230716"/>
  <slicer name="Education" xr10:uid="{D774050B-A65B-7D43-B1D0-B9AE67CAC1BD}"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3" sqref="D13"/>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67BA-03A4-0449-B6BD-AAF29769D4CB}">
  <dimension ref="A1:O6"/>
  <sheetViews>
    <sheetView showGridLines="0" zoomScale="87" workbookViewId="0">
      <selection activeCell="Q8" sqref="Q8"/>
    </sheetView>
  </sheetViews>
  <sheetFormatPr baseColWidth="10" defaultRowHeight="15" x14ac:dyDescent="0.2"/>
  <sheetData>
    <row r="1" spans="1:15" x14ac:dyDescent="0.2">
      <c r="A1" s="7" t="s">
        <v>50</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FDB2-07FE-1240-A27A-1F0E4257C7C4}">
  <dimension ref="A1:D34"/>
  <sheetViews>
    <sheetView tabSelected="1" zoomScaleNormal="100" workbookViewId="0">
      <selection activeCell="A2" sqref="A2"/>
    </sheetView>
  </sheetViews>
  <sheetFormatPr baseColWidth="10" defaultRowHeight="15" x14ac:dyDescent="0.2"/>
  <cols>
    <col min="1" max="1" width="19.83203125" bestFit="1" customWidth="1"/>
    <col min="2" max="2" width="15.83203125" bestFit="1" customWidth="1"/>
    <col min="3" max="3" width="7.6640625" bestFit="1" customWidth="1"/>
    <col min="4" max="4" width="10.1640625" bestFit="1" customWidth="1"/>
    <col min="5" max="5" width="12.1640625" bestFit="1" customWidth="1"/>
  </cols>
  <sheetData>
    <row r="1" spans="1:4" x14ac:dyDescent="0.2">
      <c r="A1" s="4" t="s">
        <v>41</v>
      </c>
      <c r="B1" s="4" t="s">
        <v>44</v>
      </c>
    </row>
    <row r="2" spans="1:4" x14ac:dyDescent="0.2">
      <c r="A2" s="4" t="s">
        <v>42</v>
      </c>
      <c r="B2" t="s">
        <v>18</v>
      </c>
      <c r="C2" t="s">
        <v>15</v>
      </c>
      <c r="D2" t="s">
        <v>43</v>
      </c>
    </row>
    <row r="3" spans="1:4" x14ac:dyDescent="0.2">
      <c r="A3" s="5" t="s">
        <v>39</v>
      </c>
      <c r="B3" s="6">
        <v>53440</v>
      </c>
      <c r="C3" s="6">
        <v>55774.058577405856</v>
      </c>
      <c r="D3" s="6">
        <v>54580.777096114522</v>
      </c>
    </row>
    <row r="4" spans="1:4" x14ac:dyDescent="0.2">
      <c r="A4" s="5" t="s">
        <v>38</v>
      </c>
      <c r="B4" s="6">
        <v>56208.178438661707</v>
      </c>
      <c r="C4" s="6">
        <v>60123.966942148763</v>
      </c>
      <c r="D4" s="6">
        <v>58062.62230919765</v>
      </c>
    </row>
    <row r="5" spans="1:4" x14ac:dyDescent="0.2">
      <c r="A5" s="5" t="s">
        <v>43</v>
      </c>
      <c r="B5" s="6">
        <v>54874.759152215796</v>
      </c>
      <c r="C5" s="6">
        <v>57962.577962577961</v>
      </c>
      <c r="D5" s="6">
        <v>56360</v>
      </c>
    </row>
    <row r="15" spans="1:4" x14ac:dyDescent="0.2">
      <c r="A15" s="4" t="s">
        <v>45</v>
      </c>
      <c r="B15" s="4" t="s">
        <v>44</v>
      </c>
    </row>
    <row r="16" spans="1:4" x14ac:dyDescent="0.2">
      <c r="A16" s="4" t="s">
        <v>42</v>
      </c>
      <c r="B16" t="s">
        <v>18</v>
      </c>
      <c r="C16" t="s">
        <v>15</v>
      </c>
      <c r="D16" t="s">
        <v>43</v>
      </c>
    </row>
    <row r="17" spans="1:4" x14ac:dyDescent="0.2">
      <c r="A17" s="5" t="s">
        <v>16</v>
      </c>
      <c r="B17">
        <v>166</v>
      </c>
      <c r="C17">
        <v>200</v>
      </c>
      <c r="D17">
        <v>366</v>
      </c>
    </row>
    <row r="18" spans="1:4" x14ac:dyDescent="0.2">
      <c r="A18" s="5" t="s">
        <v>26</v>
      </c>
      <c r="B18">
        <v>92</v>
      </c>
      <c r="C18">
        <v>77</v>
      </c>
      <c r="D18">
        <v>169</v>
      </c>
    </row>
    <row r="19" spans="1:4" x14ac:dyDescent="0.2">
      <c r="A19" s="5" t="s">
        <v>22</v>
      </c>
      <c r="B19">
        <v>67</v>
      </c>
      <c r="C19">
        <v>95</v>
      </c>
      <c r="D19">
        <v>162</v>
      </c>
    </row>
    <row r="20" spans="1:4" x14ac:dyDescent="0.2">
      <c r="A20" s="5" t="s">
        <v>23</v>
      </c>
      <c r="B20">
        <v>116</v>
      </c>
      <c r="C20">
        <v>76</v>
      </c>
      <c r="D20">
        <v>192</v>
      </c>
    </row>
    <row r="21" spans="1:4" x14ac:dyDescent="0.2">
      <c r="A21" s="5" t="s">
        <v>46</v>
      </c>
      <c r="B21">
        <v>78</v>
      </c>
      <c r="C21">
        <v>33</v>
      </c>
      <c r="D21">
        <v>111</v>
      </c>
    </row>
    <row r="22" spans="1:4" x14ac:dyDescent="0.2">
      <c r="A22" s="5" t="s">
        <v>43</v>
      </c>
      <c r="B22">
        <v>519</v>
      </c>
      <c r="C22">
        <v>481</v>
      </c>
      <c r="D22">
        <v>1000</v>
      </c>
    </row>
    <row r="29" spans="1:4" x14ac:dyDescent="0.2">
      <c r="A29" s="4" t="s">
        <v>45</v>
      </c>
      <c r="B29" s="4" t="s">
        <v>44</v>
      </c>
    </row>
    <row r="30" spans="1:4" x14ac:dyDescent="0.2">
      <c r="A30" s="4" t="s">
        <v>42</v>
      </c>
      <c r="B30" t="s">
        <v>18</v>
      </c>
      <c r="C30" t="s">
        <v>15</v>
      </c>
      <c r="D30" t="s">
        <v>43</v>
      </c>
    </row>
    <row r="31" spans="1:4" x14ac:dyDescent="0.2">
      <c r="A31" s="5" t="s">
        <v>47</v>
      </c>
      <c r="B31">
        <v>71</v>
      </c>
      <c r="C31">
        <v>39</v>
      </c>
      <c r="D31">
        <v>110</v>
      </c>
    </row>
    <row r="32" spans="1:4" x14ac:dyDescent="0.2">
      <c r="A32" s="5" t="s">
        <v>48</v>
      </c>
      <c r="B32">
        <v>318</v>
      </c>
      <c r="C32">
        <v>383</v>
      </c>
      <c r="D32">
        <v>701</v>
      </c>
    </row>
    <row r="33" spans="1:4" x14ac:dyDescent="0.2">
      <c r="A33" s="5" t="s">
        <v>49</v>
      </c>
      <c r="B33">
        <v>130</v>
      </c>
      <c r="C33">
        <v>59</v>
      </c>
      <c r="D33">
        <v>189</v>
      </c>
    </row>
    <row r="34" spans="1:4" x14ac:dyDescent="0.2">
      <c r="A34" s="5" t="s">
        <v>43</v>
      </c>
      <c r="B34">
        <v>519</v>
      </c>
      <c r="C34">
        <v>481</v>
      </c>
      <c r="D3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6351-1F42-1743-BE50-1A27838B0DCC}">
  <dimension ref="A1:N1001"/>
  <sheetViews>
    <sheetView workbookViewId="0">
      <selection activeCell="J23" sqref="J23"/>
    </sheetView>
  </sheetViews>
  <sheetFormatPr baseColWidth="10" defaultColWidth="11.83203125" defaultRowHeight="15" x14ac:dyDescent="0.2"/>
  <cols>
    <col min="2" max="2" width="26.5" bestFit="1" customWidth="1"/>
    <col min="4" max="4" width="11.83203125" style="3"/>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 "Old",IF(L2&gt;=31, "Middle Age",IF(L2&lt; 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 "Old",IF(L3&gt;=31, "Middle Age",IF(L3&lt; 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 "Old",IF(L67&gt;=31, "Middle Age",IF(L67&lt; 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 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Age",IF(L195&lt; 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 31,"Adolescent","Invalid")))</f>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 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 31,"Adolescent","Invalid")))</f>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 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Age",IF(L515&lt; 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 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Age",IF(L643&lt; 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Age",IF(L707&lt; 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 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 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 31,"Adolescent","Invalid")))</f>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 31,"Adolescent","Invalid")))</f>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70F6351-1F42-1743-BE50-1A27838B0DC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Shah Abu Kawsar Rafi</cp:lastModifiedBy>
  <dcterms:created xsi:type="dcterms:W3CDTF">2022-03-18T02:50:57Z</dcterms:created>
  <dcterms:modified xsi:type="dcterms:W3CDTF">2026-06-03T14:31:55Z</dcterms:modified>
</cp:coreProperties>
</file>